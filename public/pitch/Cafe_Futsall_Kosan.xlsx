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tabRatio="500"/>
  </bookViews>
  <sheets>
    <sheet name="Breakdown" sheetId="1" r:id="rId1"/>
    <sheet name="Cafe" sheetId="2" r:id="rId2"/>
    <sheet name="Futs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<sst xmlns="http://schemas.openxmlformats.org/spreadsheetml/2006/main" count="111" uniqueCount="81">
  <si>
    <t>Potensi Income</t>
  </si>
  <si>
    <t>Futsal &amp; Cafe</t>
  </si>
  <si>
    <t>Accupancy rate</t>
  </si>
  <si>
    <t>Futsal</t>
  </si>
  <si>
    <t>Unit</t>
  </si>
  <si>
    <t>Rate per Jam</t>
  </si>
  <si>
    <t>Total Jam / Sebulan</t>
  </si>
  <si>
    <t>Total Income</t>
  </si>
  <si>
    <t>Perawatan dan Operasional 30%</t>
  </si>
  <si>
    <t>Net Income Owner</t>
  </si>
  <si>
    <t>Cafe</t>
  </si>
  <si>
    <t>Omzet / bulan (realistis)</t>
  </si>
  <si>
    <t>Bagian pengelola 20% Include Marketing + Branding  + Operasional + Biaya Pos</t>
  </si>
  <si>
    <t>Karyawan 3 orang + BPJS/THR</t>
  </si>
  <si>
    <t>Biaya pemilik (bahan, listrik, dll)</t>
  </si>
  <si>
    <t>SUB TOTAL</t>
  </si>
  <si>
    <t>Omzet / bulan (target)</t>
  </si>
  <si>
    <t>Net Income Owner (target)</t>
  </si>
  <si>
    <t>TARGET INCOME OKUPASI 100%</t>
  </si>
  <si>
    <t xml:space="preserve">PNL Net income total (owner) </t>
  </si>
  <si>
    <t>Target Income (80%)</t>
  </si>
  <si>
    <t>Biaya2</t>
  </si>
  <si>
    <t>System dan Marketing</t>
  </si>
  <si>
    <t xml:space="preserve">Perawatan dan Operasional </t>
  </si>
  <si>
    <t>Total Biaya</t>
  </si>
  <si>
    <t>Cafe: estimasi per bulan</t>
  </si>
  <si>
    <t>Biru = input (boleh diganti). Hitam = rumus. Semua angka asumsi, ganti dengan data lokasi.</t>
  </si>
  <si>
    <t>Asumsi</t>
  </si>
  <si>
    <t>Tarif</t>
  </si>
  <si>
    <t>Realistis</t>
  </si>
  <si>
    <t>Target</t>
  </si>
  <si>
    <t>Catatan</t>
  </si>
  <si>
    <t>Pelanggan / hari</t>
  </si>
  <si>
    <t>Target omzet Rp80 jt/bulan lewat push marketing dan event</t>
  </si>
  <si>
    <t>Belanja rata-rata (Rp)</t>
  </si>
  <si>
    <t>Hari buka / bulan</t>
  </si>
  <si>
    <t>Omzet / bulan</t>
  </si>
  <si>
    <t>Bagian pengelola (Marketing + Branding + Operasional + Biaya POS)</t>
  </si>
  <si>
    <t>Porsi pengelola dari omzet</t>
  </si>
  <si>
    <t>Bagian pengelola</t>
  </si>
  <si>
    <t xml:space="preserve">  Operasional (PPIC, pengawasan harian)</t>
  </si>
  <si>
    <t xml:space="preserve">  Marketing &amp; event (tim marketing, partner event)</t>
  </si>
  <si>
    <t xml:space="preserve">  Branding (konten, desain, media)</t>
  </si>
  <si>
    <t xml:space="preserve">  Biaya POS &amp; dashboard</t>
  </si>
  <si>
    <t>Cek (harus 0): rincian - bagian pengelola</t>
  </si>
  <si>
    <t>Karyawan (3 orang, dihitung terpisah)</t>
  </si>
  <si>
    <t>Waiters</t>
  </si>
  <si>
    <t>Gaji pokok asumsi; cek UMK setempat</t>
  </si>
  <si>
    <t>Cooks</t>
  </si>
  <si>
    <t>Kasir</t>
  </si>
  <si>
    <t>BPJS / THR cadangan</t>
  </si>
  <si>
    <t>Bahan baku (HPP)</t>
  </si>
  <si>
    <t>Standar F&amp;B 30-40%; ganti sesuai resep</t>
  </si>
  <si>
    <t>Packaging &amp; habis pakai</t>
  </si>
  <si>
    <t>Listrik</t>
  </si>
  <si>
    <t>Air</t>
  </si>
  <si>
    <t>Gas / LPG</t>
  </si>
  <si>
    <t>Internet</t>
  </si>
  <si>
    <t>Kebersihan &amp; sampah</t>
  </si>
  <si>
    <t>Sewa tempat (isi bila ada)</t>
  </si>
  <si>
    <t>0 = tempat milik sendiri</t>
  </si>
  <si>
    <t>Total biaya operasional</t>
  </si>
  <si>
    <t>Net owner % omzet</t>
  </si>
  <si>
    <t>Futsal: estimasi per bulan</t>
  </si>
  <si>
    <t>Biru = input. Rate Rp120.000 per jam dari Sheet1. Dua skenario: Realistis dan Target (push turnamen sekolah + tim marketing).</t>
  </si>
  <si>
    <t>Jumlah lapangan</t>
  </si>
  <si>
    <t>Asumsi 2 lapangan (A dan B); ganti jika 1</t>
  </si>
  <si>
    <t>Rate per jam (Rp)</t>
  </si>
  <si>
    <t>Jam terjual / hari / lapangan</t>
  </si>
  <si>
    <t>Hari / bulan</t>
  </si>
  <si>
    <t>Total jam terjual / bulan</t>
  </si>
  <si>
    <t>Sewa lapangan</t>
  </si>
  <si>
    <t>Turnamen sekolah / event (bersih)</t>
  </si>
  <si>
    <t>Turnamen antar sekolah, mini-league, nobar</t>
  </si>
  <si>
    <t>Total revenue / bulan</t>
  </si>
  <si>
    <t>Bagian pengelola 30%</t>
  </si>
  <si>
    <t xml:space="preserve">  Maintenance lapangan</t>
  </si>
  <si>
    <t xml:space="preserve">  Event management (turnamen sekolah)</t>
  </si>
  <si>
    <t xml:space="preserve">  Marketing (tim marketing)</t>
  </si>
  <si>
    <t xml:space="preserve">  Fee pengelola / operasional</t>
  </si>
  <si>
    <t>Net Income Owner (70%)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</si>
</sst>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76" formatCode="_(* #,##0.00_);_(* \(#,##0.00\);_(* \-??_);_(@_)"/>
    <numFmt numFmtId="177" formatCode="_-* #,##0_-;\-* #,##0_-;_-* \-??_-;_-@_-"/>
    <numFmt numFmtId="178" formatCode="0.0%"/>
  </numFmts>
  <fonts count="26">
    <font>
      <sz val="11"/>
      <color theme="1"/>
      <name val="Calibri"/>
      <charset val="134"/>
    </font>
    <font>
      <b/>
      <sz val="14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sz val="11"/>
      <color rgb="FF0000FF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1" fontId="4" fillId="0" borderId="0" xfId="0" applyNumberFormat="1" applyFont="1" applyAlignment="1"/>
    <xf numFmtId="177" fontId="2" fillId="0" borderId="0" xfId="0" applyNumberFormat="1" applyFont="1" applyAlignment="1"/>
    <xf numFmtId="1" fontId="2" fillId="0" borderId="0" xfId="0" applyNumberFormat="1" applyFont="1" applyAlignment="1"/>
    <xf numFmtId="177" fontId="3" fillId="0" borderId="0" xfId="0" applyNumberFormat="1" applyFont="1" applyAlignment="1"/>
    <xf numFmtId="177" fontId="4" fillId="0" borderId="0" xfId="0" applyNumberFormat="1" applyFont="1" applyAlignment="1"/>
    <xf numFmtId="9" fontId="4" fillId="0" borderId="0" xfId="0" applyNumberFormat="1" applyFont="1" applyAlignment="1"/>
    <xf numFmtId="178" fontId="2" fillId="0" borderId="0" xfId="0" applyNumberFormat="1" applyFont="1" applyAlignment="1"/>
    <xf numFmtId="0" fontId="0" fillId="0" borderId="0" xfId="0" applyFont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2" borderId="1" xfId="0" applyFill="1" applyBorder="1">
      <alignment vertical="center"/>
    </xf>
    <xf numFmtId="9" fontId="0" fillId="2" borderId="1" xfId="0" applyNumberFormat="1" applyFill="1" applyBorder="1" applyAlignment="1">
      <alignment vertical="center"/>
    </xf>
    <xf numFmtId="0" fontId="0" fillId="2" borderId="1" xfId="0" applyFill="1" applyBorder="1" applyAlignment="1"/>
    <xf numFmtId="0" fontId="0" fillId="3" borderId="1" xfId="0" applyFont="1" applyFill="1" applyBorder="1" applyAlignment="1">
      <alignment vertical="center"/>
    </xf>
    <xf numFmtId="0" fontId="0" fillId="3" borderId="1" xfId="0" applyFill="1" applyBorder="1">
      <alignment vertical="center"/>
    </xf>
    <xf numFmtId="177" fontId="0" fillId="2" borderId="1" xfId="1" applyNumberFormat="1" applyFill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0" fontId="0" fillId="4" borderId="1" xfId="0" applyFill="1" applyBorder="1">
      <alignment vertical="center"/>
    </xf>
    <xf numFmtId="0" fontId="2" fillId="4" borderId="1" xfId="0" applyFont="1" applyFill="1" applyBorder="1" applyAlignment="1"/>
    <xf numFmtId="177" fontId="0" fillId="2" borderId="1" xfId="0" applyNumberFormat="1" applyFill="1" applyBorder="1" applyAlignment="1">
      <alignment vertical="center"/>
    </xf>
    <xf numFmtId="9" fontId="0" fillId="2" borderId="1" xfId="0" applyNumberFormat="1" applyFill="1" applyBorder="1">
      <alignment vertical="center"/>
    </xf>
    <xf numFmtId="0" fontId="0" fillId="3" borderId="1" xfId="0" applyFill="1" applyBorder="1" applyAlignment="1"/>
    <xf numFmtId="177" fontId="0" fillId="3" borderId="1" xfId="1" applyNumberFormat="1" applyFill="1" applyBorder="1" applyAlignment="1">
      <alignment vertical="center"/>
    </xf>
    <xf numFmtId="177" fontId="0" fillId="3" borderId="1" xfId="0" applyNumberFormat="1" applyFill="1" applyBorder="1" applyAlignment="1">
      <alignment vertical="center"/>
    </xf>
    <xf numFmtId="0" fontId="0" fillId="4" borderId="1" xfId="0" applyFill="1" applyBorder="1" applyAlignment="1"/>
    <xf numFmtId="177" fontId="2" fillId="4" borderId="1" xfId="0" applyNumberFormat="1" applyFont="1" applyFill="1" applyBorder="1" applyAlignment="1"/>
    <xf numFmtId="177" fontId="0" fillId="4" borderId="1" xfId="0" applyNumberForma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7"/>
  <sheetViews>
    <sheetView tabSelected="1" topLeftCell="A3" workbookViewId="0">
      <selection activeCell="F16" sqref="F16"/>
    </sheetView>
  </sheetViews>
  <sheetFormatPr defaultColWidth="8.72727272727273" defaultRowHeight="14.5"/>
  <cols>
    <col min="2" max="2" width="30.9090909090909" customWidth="1"/>
    <col min="4" max="4" width="14.4454545454545" style="1" customWidth="1"/>
    <col min="5" max="5" width="11.5545454545455" style="1" customWidth="1"/>
    <col min="7" max="7" width="53.5454545454545" customWidth="1"/>
    <col min="9" max="9" width="14.4454545454545" style="1" customWidth="1"/>
    <col min="10" max="10" width="10.4454545454545" style="1" customWidth="1"/>
  </cols>
  <sheetData>
    <row r="2" spans="2:7">
      <c r="B2" s="13" t="s">
        <v>0</v>
      </c>
      <c r="G2" s="13" t="s">
        <v>1</v>
      </c>
    </row>
    <row r="4" spans="2:10">
      <c r="B4" s="14" t="s">
        <v>2</v>
      </c>
      <c r="C4" s="15"/>
      <c r="D4" s="16">
        <v>0.8</v>
      </c>
      <c r="E4" s="17"/>
      <c r="G4" s="18" t="s">
        <v>3</v>
      </c>
      <c r="H4" s="19"/>
      <c r="I4" s="26"/>
      <c r="J4" s="26"/>
    </row>
    <row r="5" spans="2:10">
      <c r="B5" s="15"/>
      <c r="C5" s="15"/>
      <c r="D5" s="17"/>
      <c r="E5" s="17"/>
      <c r="G5" s="19"/>
      <c r="H5" s="19"/>
      <c r="I5" s="26"/>
      <c r="J5" s="26"/>
    </row>
    <row r="6" spans="2:10">
      <c r="B6" s="14" t="s">
        <v>4</v>
      </c>
      <c r="C6" s="14">
        <v>1</v>
      </c>
      <c r="D6" s="20">
        <v>2800000</v>
      </c>
      <c r="E6" s="17"/>
      <c r="G6" s="18" t="s">
        <v>5</v>
      </c>
      <c r="H6" s="19"/>
      <c r="I6" s="27">
        <v>120000</v>
      </c>
      <c r="J6" s="26"/>
    </row>
    <row r="7" spans="2:10">
      <c r="B7" s="14" t="s">
        <v>4</v>
      </c>
      <c r="C7" s="14">
        <f t="shared" ref="C7:C25" si="0">C6+1</f>
        <v>2</v>
      </c>
      <c r="D7" s="20">
        <v>2300000</v>
      </c>
      <c r="E7" s="17"/>
      <c r="G7" s="18" t="s">
        <v>6</v>
      </c>
      <c r="H7" s="19"/>
      <c r="I7" s="27">
        <f>4*28</f>
        <v>112</v>
      </c>
      <c r="J7" s="26"/>
    </row>
    <row r="8" spans="2:10">
      <c r="B8" s="14" t="s">
        <v>4</v>
      </c>
      <c r="C8" s="14">
        <f t="shared" si="0"/>
        <v>3</v>
      </c>
      <c r="D8" s="20">
        <v>2300000</v>
      </c>
      <c r="E8" s="17"/>
      <c r="G8" s="18" t="s">
        <v>7</v>
      </c>
      <c r="H8" s="19"/>
      <c r="I8" s="27">
        <f>I6*I7</f>
        <v>13440000</v>
      </c>
      <c r="J8" s="26"/>
    </row>
    <row r="9" spans="2:10">
      <c r="B9" s="14" t="s">
        <v>4</v>
      </c>
      <c r="C9" s="14">
        <f t="shared" si="0"/>
        <v>4</v>
      </c>
      <c r="D9" s="20">
        <v>2300000</v>
      </c>
      <c r="E9" s="17"/>
      <c r="G9" s="19"/>
      <c r="H9" s="19"/>
      <c r="I9" s="26"/>
      <c r="J9" s="26"/>
    </row>
    <row r="10" spans="2:10">
      <c r="B10" s="14" t="s">
        <v>4</v>
      </c>
      <c r="C10" s="14">
        <f t="shared" si="0"/>
        <v>5</v>
      </c>
      <c r="D10" s="20">
        <v>2300000</v>
      </c>
      <c r="E10" s="17"/>
      <c r="G10" s="18" t="s">
        <v>8</v>
      </c>
      <c r="H10" s="19"/>
      <c r="I10" s="26"/>
      <c r="J10" s="28">
        <f>I8*0.3</f>
        <v>4032000</v>
      </c>
    </row>
    <row r="11" spans="2:10">
      <c r="B11" s="14" t="s">
        <v>4</v>
      </c>
      <c r="C11" s="14">
        <f t="shared" si="0"/>
        <v>6</v>
      </c>
      <c r="D11" s="20">
        <v>2300000</v>
      </c>
      <c r="E11" s="17"/>
      <c r="G11" s="19"/>
      <c r="H11" s="19"/>
      <c r="I11" s="26"/>
      <c r="J11" s="26"/>
    </row>
    <row r="12" spans="2:10">
      <c r="B12" s="14" t="s">
        <v>4</v>
      </c>
      <c r="C12" s="14">
        <f t="shared" si="0"/>
        <v>7</v>
      </c>
      <c r="D12" s="20">
        <v>2300000</v>
      </c>
      <c r="E12" s="17"/>
      <c r="G12" s="18" t="s">
        <v>9</v>
      </c>
      <c r="H12" s="19"/>
      <c r="I12" s="26"/>
      <c r="J12" s="28">
        <f>I8-J10</f>
        <v>9408000</v>
      </c>
    </row>
    <row r="13" spans="2:5">
      <c r="B13" s="14" t="s">
        <v>4</v>
      </c>
      <c r="C13" s="14">
        <f t="shared" si="0"/>
        <v>8</v>
      </c>
      <c r="D13" s="20">
        <v>2300000</v>
      </c>
      <c r="E13" s="17"/>
    </row>
    <row r="14" spans="2:10">
      <c r="B14" s="14" t="s">
        <v>4</v>
      </c>
      <c r="C14" s="14">
        <f t="shared" si="0"/>
        <v>9</v>
      </c>
      <c r="D14" s="20">
        <v>2300000</v>
      </c>
      <c r="E14" s="17"/>
      <c r="G14" s="21" t="s">
        <v>10</v>
      </c>
      <c r="H14" s="22"/>
      <c r="I14" s="29"/>
      <c r="J14" s="29"/>
    </row>
    <row r="15" spans="2:10">
      <c r="B15" s="14" t="s">
        <v>4</v>
      </c>
      <c r="C15" s="14">
        <f t="shared" si="0"/>
        <v>10</v>
      </c>
      <c r="D15" s="20">
        <v>2300000</v>
      </c>
      <c r="E15" s="17"/>
      <c r="G15" s="23" t="s">
        <v>11</v>
      </c>
      <c r="H15" s="22"/>
      <c r="I15" s="29"/>
      <c r="J15" s="30">
        <f>Cafe!D9</f>
        <v>69300000</v>
      </c>
    </row>
    <row r="16" spans="2:10">
      <c r="B16" s="14" t="s">
        <v>4</v>
      </c>
      <c r="C16" s="14">
        <f t="shared" si="0"/>
        <v>11</v>
      </c>
      <c r="D16" s="20">
        <v>2300000</v>
      </c>
      <c r="E16" s="17"/>
      <c r="G16" s="23" t="s">
        <v>12</v>
      </c>
      <c r="H16" s="22"/>
      <c r="I16" s="29"/>
      <c r="J16" s="30">
        <f>Cafe!D13</f>
        <v>13860000</v>
      </c>
    </row>
    <row r="17" spans="2:10">
      <c r="B17" s="14" t="s">
        <v>4</v>
      </c>
      <c r="C17" s="14">
        <f t="shared" si="0"/>
        <v>12</v>
      </c>
      <c r="D17" s="20">
        <v>2300000</v>
      </c>
      <c r="E17" s="17"/>
      <c r="G17" s="23" t="s">
        <v>13</v>
      </c>
      <c r="H17" s="22"/>
      <c r="I17" s="29"/>
      <c r="J17" s="30">
        <f>Cafe!D25</f>
        <v>8470000</v>
      </c>
    </row>
    <row r="18" spans="2:10">
      <c r="B18" s="14" t="s">
        <v>4</v>
      </c>
      <c r="C18" s="14">
        <f t="shared" si="0"/>
        <v>13</v>
      </c>
      <c r="D18" s="20">
        <v>2300000</v>
      </c>
      <c r="E18" s="17"/>
      <c r="G18" s="23" t="s">
        <v>14</v>
      </c>
      <c r="H18" s="22"/>
      <c r="I18" s="29"/>
      <c r="J18" s="30">
        <f>Cafe!D36</f>
        <v>30434000</v>
      </c>
    </row>
    <row r="19" spans="2:10">
      <c r="B19" s="14" t="s">
        <v>4</v>
      </c>
      <c r="C19" s="14">
        <f t="shared" si="0"/>
        <v>14</v>
      </c>
      <c r="D19" s="20">
        <v>2000000</v>
      </c>
      <c r="E19" s="17"/>
      <c r="G19" s="22" t="s">
        <v>15</v>
      </c>
      <c r="H19" s="22"/>
      <c r="I19" s="29"/>
      <c r="J19" s="31">
        <f>J16+J17+J18</f>
        <v>52764000</v>
      </c>
    </row>
    <row r="20" spans="2:10">
      <c r="B20" s="14" t="s">
        <v>4</v>
      </c>
      <c r="C20" s="14">
        <f t="shared" si="0"/>
        <v>15</v>
      </c>
      <c r="D20" s="20">
        <v>2000000</v>
      </c>
      <c r="E20" s="17"/>
      <c r="G20" s="22"/>
      <c r="H20" s="22"/>
      <c r="I20" s="29"/>
      <c r="J20" s="29"/>
    </row>
    <row r="21" spans="2:10">
      <c r="B21" s="14" t="s">
        <v>4</v>
      </c>
      <c r="C21" s="14">
        <f t="shared" si="0"/>
        <v>16</v>
      </c>
      <c r="D21" s="20">
        <v>2000000</v>
      </c>
      <c r="E21" s="17"/>
      <c r="G21" s="23" t="s">
        <v>9</v>
      </c>
      <c r="H21" s="22"/>
      <c r="I21" s="29"/>
      <c r="J21" s="30">
        <f>Cafe!D38</f>
        <v>16536000</v>
      </c>
    </row>
    <row r="22" spans="2:10">
      <c r="B22" s="14" t="s">
        <v>4</v>
      </c>
      <c r="C22" s="14">
        <f t="shared" si="0"/>
        <v>17</v>
      </c>
      <c r="D22" s="20">
        <v>2000000</v>
      </c>
      <c r="E22" s="17"/>
      <c r="G22" s="22"/>
      <c r="H22" s="22"/>
      <c r="I22" s="29"/>
      <c r="J22" s="29"/>
    </row>
    <row r="23" spans="2:10">
      <c r="B23" s="14" t="s">
        <v>4</v>
      </c>
      <c r="C23" s="14">
        <f t="shared" si="0"/>
        <v>18</v>
      </c>
      <c r="D23" s="20">
        <v>2000000</v>
      </c>
      <c r="E23" s="17"/>
      <c r="G23" s="23" t="s">
        <v>16</v>
      </c>
      <c r="H23" s="22"/>
      <c r="I23" s="29"/>
      <c r="J23" s="30">
        <f>Cafe!E9</f>
        <v>79999200</v>
      </c>
    </row>
    <row r="24" spans="2:10">
      <c r="B24" s="14" t="s">
        <v>4</v>
      </c>
      <c r="C24" s="14">
        <f t="shared" si="0"/>
        <v>19</v>
      </c>
      <c r="D24" s="20">
        <v>2000000</v>
      </c>
      <c r="E24" s="17"/>
      <c r="G24" s="23" t="s">
        <v>17</v>
      </c>
      <c r="H24" s="22"/>
      <c r="I24" s="29"/>
      <c r="J24" s="30">
        <f>Cafe!E38</f>
        <v>21029664</v>
      </c>
    </row>
    <row r="25" spans="2:5">
      <c r="B25" s="14" t="s">
        <v>4</v>
      </c>
      <c r="C25" s="14">
        <f t="shared" si="0"/>
        <v>20</v>
      </c>
      <c r="D25" s="20">
        <v>2000000</v>
      </c>
      <c r="E25" s="17"/>
    </row>
    <row r="26" spans="2:5">
      <c r="B26" s="15"/>
      <c r="C26" s="15"/>
      <c r="D26" s="17"/>
      <c r="E26" s="17"/>
    </row>
    <row r="27" spans="2:7">
      <c r="B27" s="15" t="s">
        <v>18</v>
      </c>
      <c r="C27" s="15"/>
      <c r="D27" s="24">
        <f>SUM(D6:D25)</f>
        <v>44400000</v>
      </c>
      <c r="E27" s="17"/>
      <c r="G27" t="s">
        <v>19</v>
      </c>
    </row>
    <row r="28" spans="2:5">
      <c r="B28" s="14" t="s">
        <v>20</v>
      </c>
      <c r="C28" s="15"/>
      <c r="D28" s="24">
        <f>D27*D4</f>
        <v>35520000</v>
      </c>
      <c r="E28" s="17"/>
    </row>
    <row r="29" spans="2:5">
      <c r="B29" s="15"/>
      <c r="C29" s="15"/>
      <c r="D29" s="17"/>
      <c r="E29" s="17"/>
    </row>
    <row r="30" spans="2:5">
      <c r="B30" s="15"/>
      <c r="C30" s="15"/>
      <c r="D30" s="17"/>
      <c r="E30" s="17"/>
    </row>
    <row r="31" spans="2:5">
      <c r="B31" s="14" t="s">
        <v>21</v>
      </c>
      <c r="C31" s="15"/>
      <c r="D31" s="17"/>
      <c r="E31" s="17"/>
    </row>
    <row r="32" spans="2:5">
      <c r="B32" s="14" t="s">
        <v>22</v>
      </c>
      <c r="C32" s="16">
        <v>0.15</v>
      </c>
      <c r="D32" s="17"/>
      <c r="E32" s="24">
        <f>D27*0.15</f>
        <v>6660000</v>
      </c>
    </row>
    <row r="33" spans="2:5">
      <c r="B33" s="14" t="s">
        <v>23</v>
      </c>
      <c r="C33" s="25">
        <v>0.15</v>
      </c>
      <c r="D33" s="17"/>
      <c r="E33" s="24">
        <f>D27*0.15</f>
        <v>6660000</v>
      </c>
    </row>
    <row r="34" spans="2:5">
      <c r="B34" s="15"/>
      <c r="C34" s="15"/>
      <c r="D34" s="17"/>
      <c r="E34" s="17"/>
    </row>
    <row r="35" spans="2:5">
      <c r="B35" s="14" t="s">
        <v>24</v>
      </c>
      <c r="C35" s="15"/>
      <c r="D35" s="17"/>
      <c r="E35" s="24">
        <f>SUM(E32:E33)</f>
        <v>13320000</v>
      </c>
    </row>
    <row r="36" spans="2:5">
      <c r="B36" s="15"/>
      <c r="C36" s="15"/>
      <c r="D36" s="17"/>
      <c r="E36" s="17"/>
    </row>
    <row r="37" spans="2:5">
      <c r="B37" s="14" t="s">
        <v>9</v>
      </c>
      <c r="C37" s="15"/>
      <c r="D37" s="17"/>
      <c r="E37" s="24">
        <f>D28-E35</f>
        <v>22200000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9"/>
  <sheetViews>
    <sheetView topLeftCell="B17" workbookViewId="0">
      <selection activeCell="B33" sqref="B33"/>
    </sheetView>
  </sheetViews>
  <sheetFormatPr defaultColWidth="8.68181818181818" defaultRowHeight="14.5" outlineLevelCol="6"/>
  <cols>
    <col min="2" max="2" width="44" style="1" customWidth="1"/>
    <col min="3" max="3" width="9" style="1" customWidth="1"/>
    <col min="4" max="5" width="16" style="1" customWidth="1"/>
    <col min="7" max="7" width="52" style="1" customWidth="1"/>
  </cols>
  <sheetData>
    <row r="2" ht="18.5" spans="2:2">
      <c r="B2" s="2" t="s">
        <v>25</v>
      </c>
    </row>
    <row r="3" spans="2:2">
      <c r="B3" s="3" t="s">
        <v>26</v>
      </c>
    </row>
    <row r="5" spans="2:7">
      <c r="B5" s="4" t="s">
        <v>27</v>
      </c>
      <c r="C5" s="4" t="s">
        <v>28</v>
      </c>
      <c r="D5" s="5" t="s">
        <v>29</v>
      </c>
      <c r="E5" s="5" t="s">
        <v>30</v>
      </c>
      <c r="G5" s="4" t="s">
        <v>31</v>
      </c>
    </row>
    <row r="6" spans="2:7">
      <c r="B6" s="3" t="s">
        <v>32</v>
      </c>
      <c r="D6" s="6">
        <v>70</v>
      </c>
      <c r="E6" s="6">
        <v>80</v>
      </c>
      <c r="G6" s="3" t="s">
        <v>33</v>
      </c>
    </row>
    <row r="7" spans="2:5">
      <c r="B7" s="3" t="s">
        <v>34</v>
      </c>
      <c r="D7" s="10">
        <v>33000</v>
      </c>
      <c r="E7" s="10">
        <v>33333</v>
      </c>
    </row>
    <row r="8" spans="2:5">
      <c r="B8" s="3" t="s">
        <v>35</v>
      </c>
      <c r="D8" s="6">
        <v>30</v>
      </c>
      <c r="E8" s="6">
        <v>30</v>
      </c>
    </row>
    <row r="9" spans="2:5">
      <c r="B9" s="4" t="s">
        <v>36</v>
      </c>
      <c r="D9" s="9">
        <f>D6*D7*D8</f>
        <v>69300000</v>
      </c>
      <c r="E9" s="9">
        <f>E6*E7*E8</f>
        <v>79999200</v>
      </c>
    </row>
    <row r="11" spans="2:2">
      <c r="B11" s="4" t="s">
        <v>37</v>
      </c>
    </row>
    <row r="12" spans="2:5">
      <c r="B12" s="3" t="s">
        <v>38</v>
      </c>
      <c r="D12" s="11">
        <v>0.2</v>
      </c>
      <c r="E12" s="11">
        <v>0.2</v>
      </c>
    </row>
    <row r="13" spans="2:5">
      <c r="B13" s="4" t="s">
        <v>39</v>
      </c>
      <c r="D13" s="9">
        <f>D9*D12</f>
        <v>13860000</v>
      </c>
      <c r="E13" s="9">
        <f>E9*E12</f>
        <v>15999840</v>
      </c>
    </row>
    <row r="14" spans="2:5">
      <c r="B14" s="3" t="s">
        <v>40</v>
      </c>
      <c r="C14" s="11">
        <v>0.08</v>
      </c>
      <c r="D14" s="7">
        <f>D$9*$C14</f>
        <v>5544000</v>
      </c>
      <c r="E14" s="7">
        <f>E$9*$C14</f>
        <v>6399936</v>
      </c>
    </row>
    <row r="15" spans="2:5">
      <c r="B15" s="3" t="s">
        <v>41</v>
      </c>
      <c r="C15" s="11">
        <v>0.07</v>
      </c>
      <c r="D15" s="7">
        <f>D$9*$C15</f>
        <v>4851000</v>
      </c>
      <c r="E15" s="7">
        <f>E$9*$C15</f>
        <v>5599944</v>
      </c>
    </row>
    <row r="16" spans="2:5">
      <c r="B16" s="3" t="s">
        <v>42</v>
      </c>
      <c r="C16" s="11">
        <v>0.03</v>
      </c>
      <c r="D16" s="7">
        <f>D$9*$C16</f>
        <v>2079000</v>
      </c>
      <c r="E16" s="7">
        <f>E$9*$C16</f>
        <v>2399976</v>
      </c>
    </row>
    <row r="17" spans="2:5">
      <c r="B17" s="3" t="s">
        <v>43</v>
      </c>
      <c r="C17" s="11">
        <v>0.02</v>
      </c>
      <c r="D17" s="7">
        <f>D$9*$C17</f>
        <v>1386000</v>
      </c>
      <c r="E17" s="7">
        <f>E$9*$C17</f>
        <v>1599984</v>
      </c>
    </row>
    <row r="18" spans="2:5">
      <c r="B18" s="3" t="s">
        <v>44</v>
      </c>
      <c r="D18" s="7">
        <f>SUM(D14:D17)-D13</f>
        <v>0</v>
      </c>
      <c r="E18" s="7">
        <f>SUM(E14:E17)-E13</f>
        <v>0</v>
      </c>
    </row>
    <row r="20" spans="2:2">
      <c r="B20" s="4" t="s">
        <v>45</v>
      </c>
    </row>
    <row r="21" spans="2:7">
      <c r="B21" s="3" t="s">
        <v>46</v>
      </c>
      <c r="D21" s="10">
        <v>2400000</v>
      </c>
      <c r="E21" s="10">
        <v>2400000</v>
      </c>
      <c r="G21" s="3" t="s">
        <v>47</v>
      </c>
    </row>
    <row r="22" spans="2:5">
      <c r="B22" s="3" t="s">
        <v>48</v>
      </c>
      <c r="D22" s="10">
        <v>2800000</v>
      </c>
      <c r="E22" s="10">
        <v>2800000</v>
      </c>
    </row>
    <row r="23" spans="2:5">
      <c r="B23" s="3" t="s">
        <v>49</v>
      </c>
      <c r="D23" s="10">
        <v>2500000</v>
      </c>
      <c r="E23" s="10">
        <v>2500000</v>
      </c>
    </row>
    <row r="24" spans="2:5">
      <c r="B24" s="3" t="s">
        <v>50</v>
      </c>
      <c r="C24" s="11">
        <v>0.1</v>
      </c>
      <c r="D24" s="7">
        <f>SUM(D21:D23)*$C24</f>
        <v>770000</v>
      </c>
      <c r="E24" s="7">
        <f>SUM(E21:E23)*$C24</f>
        <v>770000</v>
      </c>
    </row>
    <row r="25" spans="2:5">
      <c r="B25" s="4" t="s">
        <v>13</v>
      </c>
      <c r="D25" s="9">
        <f>SUM(D21:D24)</f>
        <v>8470000</v>
      </c>
      <c r="E25" s="9">
        <f>SUM(E21:E24)</f>
        <v>8470000</v>
      </c>
    </row>
    <row r="27" spans="2:2">
      <c r="B27" s="4" t="s">
        <v>14</v>
      </c>
    </row>
    <row r="28" spans="2:7">
      <c r="B28" s="3" t="s">
        <v>51</v>
      </c>
      <c r="C28" s="11">
        <v>0.35</v>
      </c>
      <c r="D28" s="7">
        <f>D$9*$C28</f>
        <v>24255000</v>
      </c>
      <c r="E28" s="7">
        <f>E$9*$C28</f>
        <v>27999720</v>
      </c>
      <c r="G28" s="3" t="s">
        <v>52</v>
      </c>
    </row>
    <row r="29" spans="2:5">
      <c r="B29" s="3" t="s">
        <v>53</v>
      </c>
      <c r="C29" s="11">
        <v>0.03</v>
      </c>
      <c r="D29" s="7">
        <f>D$9*$C29</f>
        <v>2079000</v>
      </c>
      <c r="E29" s="7">
        <f>E$9*$C29</f>
        <v>2399976</v>
      </c>
    </row>
    <row r="30" spans="2:5">
      <c r="B30" s="3" t="s">
        <v>54</v>
      </c>
      <c r="D30" s="10">
        <v>2500000</v>
      </c>
      <c r="E30" s="10">
        <v>2500000</v>
      </c>
    </row>
    <row r="31" spans="2:5">
      <c r="B31" s="3" t="s">
        <v>55</v>
      </c>
      <c r="D31" s="10">
        <v>400000</v>
      </c>
      <c r="E31" s="10">
        <v>400000</v>
      </c>
    </row>
    <row r="32" spans="2:5">
      <c r="B32" s="3" t="s">
        <v>56</v>
      </c>
      <c r="D32" s="10">
        <v>500000</v>
      </c>
      <c r="E32" s="10">
        <v>500000</v>
      </c>
    </row>
    <row r="33" spans="2:5">
      <c r="B33" s="3" t="s">
        <v>57</v>
      </c>
      <c r="D33" s="10">
        <v>400000</v>
      </c>
      <c r="E33" s="10">
        <v>400000</v>
      </c>
    </row>
    <row r="34" spans="2:5">
      <c r="B34" s="3" t="s">
        <v>58</v>
      </c>
      <c r="D34" s="10">
        <v>300000</v>
      </c>
      <c r="E34" s="10">
        <v>300000</v>
      </c>
    </row>
    <row r="35" spans="2:7">
      <c r="B35" s="3" t="s">
        <v>59</v>
      </c>
      <c r="D35" s="10">
        <v>0</v>
      </c>
      <c r="E35" s="10">
        <v>0</v>
      </c>
      <c r="G35" s="3" t="s">
        <v>60</v>
      </c>
    </row>
    <row r="36" spans="2:5">
      <c r="B36" s="4" t="s">
        <v>61</v>
      </c>
      <c r="D36" s="9">
        <f>SUM(D28:D35)</f>
        <v>30434000</v>
      </c>
      <c r="E36" s="9">
        <f>SUM(E28:E35)</f>
        <v>34499696</v>
      </c>
    </row>
    <row r="38" spans="2:5">
      <c r="B38" s="4" t="s">
        <v>9</v>
      </c>
      <c r="D38" s="9">
        <f>D9-D13-D25-D36</f>
        <v>16536000</v>
      </c>
      <c r="E38" s="9">
        <f>E9-E13-E25-E36</f>
        <v>21029664</v>
      </c>
    </row>
    <row r="39" spans="2:5">
      <c r="B39" s="3" t="s">
        <v>62</v>
      </c>
      <c r="D39" s="12">
        <f>D38/D9</f>
        <v>0.238614718614719</v>
      </c>
      <c r="E39" s="12">
        <f>E38/E9</f>
        <v>0.262873428734287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2"/>
  <sheetViews>
    <sheetView workbookViewId="0">
      <selection activeCell="B8" sqref="B8"/>
    </sheetView>
  </sheetViews>
  <sheetFormatPr defaultColWidth="8.68181818181818" defaultRowHeight="14.5" outlineLevelCol="6"/>
  <cols>
    <col min="2" max="2" width="46" style="1" customWidth="1"/>
    <col min="3" max="3" width="9" style="1" customWidth="1"/>
    <col min="4" max="5" width="16" style="1" customWidth="1"/>
    <col min="7" max="7" width="52" style="1" customWidth="1"/>
  </cols>
  <sheetData>
    <row r="2" ht="18.5" spans="2:2">
      <c r="B2" s="2" t="s">
        <v>63</v>
      </c>
    </row>
    <row r="3" spans="2:2">
      <c r="B3" s="3" t="s">
        <v>64</v>
      </c>
    </row>
    <row r="5" spans="2:7">
      <c r="B5" s="4" t="s">
        <v>27</v>
      </c>
      <c r="C5" s="4" t="s">
        <v>28</v>
      </c>
      <c r="D5" s="5" t="s">
        <v>29</v>
      </c>
      <c r="E5" s="5" t="s">
        <v>30</v>
      </c>
      <c r="G5" s="4" t="s">
        <v>31</v>
      </c>
    </row>
    <row r="6" spans="2:7">
      <c r="B6" s="3" t="s">
        <v>65</v>
      </c>
      <c r="D6" s="6">
        <v>2</v>
      </c>
      <c r="E6" s="6">
        <v>2</v>
      </c>
      <c r="G6" s="3" t="s">
        <v>66</v>
      </c>
    </row>
    <row r="7" spans="2:5">
      <c r="B7" s="3" t="s">
        <v>67</v>
      </c>
      <c r="D7" s="7">
        <f>Breakdown!$I$6</f>
        <v>120000</v>
      </c>
      <c r="E7" s="7">
        <f>Breakdown!$I$6</f>
        <v>120000</v>
      </c>
    </row>
    <row r="8" spans="2:5">
      <c r="B8" s="3" t="s">
        <v>68</v>
      </c>
      <c r="D8" s="6">
        <v>5</v>
      </c>
      <c r="E8" s="6">
        <v>7</v>
      </c>
    </row>
    <row r="9" spans="2:5">
      <c r="B9" s="3" t="s">
        <v>69</v>
      </c>
      <c r="D9" s="6">
        <v>28</v>
      </c>
      <c r="E9" s="6">
        <v>28</v>
      </c>
    </row>
    <row r="10" spans="2:5">
      <c r="B10" s="3" t="s">
        <v>70</v>
      </c>
      <c r="D10" s="8">
        <f>D6*D8*D9</f>
        <v>280</v>
      </c>
      <c r="E10" s="8">
        <f>E6*E8*E9</f>
        <v>392</v>
      </c>
    </row>
    <row r="11" spans="2:5">
      <c r="B11" s="4" t="s">
        <v>71</v>
      </c>
      <c r="D11" s="9">
        <f>D10*D7</f>
        <v>33600000</v>
      </c>
      <c r="E11" s="9">
        <f>E10*E7</f>
        <v>47040000</v>
      </c>
    </row>
    <row r="12" spans="2:7">
      <c r="B12" s="3" t="s">
        <v>72</v>
      </c>
      <c r="D12" s="10">
        <v>3000000</v>
      </c>
      <c r="E12" s="10">
        <v>5000000</v>
      </c>
      <c r="G12" s="3" t="s">
        <v>73</v>
      </c>
    </row>
    <row r="13" spans="2:5">
      <c r="B13" s="4" t="s">
        <v>74</v>
      </c>
      <c r="D13" s="9">
        <f>D11+D12</f>
        <v>36600000</v>
      </c>
      <c r="E13" s="9">
        <f>E11+E12</f>
        <v>52040000</v>
      </c>
    </row>
    <row r="15" spans="2:5">
      <c r="B15" s="4" t="s">
        <v>75</v>
      </c>
      <c r="C15" s="11">
        <v>0.3</v>
      </c>
      <c r="D15" s="9">
        <f>D13*$C15</f>
        <v>10980000</v>
      </c>
      <c r="E15" s="9">
        <f>E13*$C15</f>
        <v>15612000</v>
      </c>
    </row>
    <row r="16" spans="2:5">
      <c r="B16" s="3" t="s">
        <v>76</v>
      </c>
      <c r="C16" s="11">
        <v>0.08</v>
      </c>
      <c r="D16" s="7">
        <f>D$13*$C16</f>
        <v>2928000</v>
      </c>
      <c r="E16" s="7">
        <f>E$13*$C16</f>
        <v>4163200</v>
      </c>
    </row>
    <row r="17" spans="2:5">
      <c r="B17" s="3" t="s">
        <v>77</v>
      </c>
      <c r="C17" s="11">
        <v>0.09</v>
      </c>
      <c r="D17" s="7">
        <f>D$13*$C17</f>
        <v>3294000</v>
      </c>
      <c r="E17" s="7">
        <f>E$13*$C17</f>
        <v>4683600</v>
      </c>
    </row>
    <row r="18" spans="2:5">
      <c r="B18" s="3" t="s">
        <v>78</v>
      </c>
      <c r="C18" s="11">
        <v>0.09</v>
      </c>
      <c r="D18" s="7">
        <f>D$13*$C18</f>
        <v>3294000</v>
      </c>
      <c r="E18" s="7">
        <f>E$13*$C18</f>
        <v>4683600</v>
      </c>
    </row>
    <row r="19" spans="2:5">
      <c r="B19" s="3" t="s">
        <v>79</v>
      </c>
      <c r="C19" s="11">
        <v>0.04</v>
      </c>
      <c r="D19" s="7">
        <f>D$13*$C19</f>
        <v>1464000</v>
      </c>
      <c r="E19" s="7">
        <f>E$13*$C19</f>
        <v>2081600</v>
      </c>
    </row>
    <row r="20" spans="2:5">
      <c r="B20" s="3" t="s">
        <v>44</v>
      </c>
      <c r="D20" s="7">
        <f>SUM(D16:D19)-D15</f>
        <v>0</v>
      </c>
      <c r="E20" s="7">
        <f>SUM(E16:E19)-E15</f>
        <v>0</v>
      </c>
    </row>
    <row r="22" spans="2:5">
      <c r="B22" s="4" t="s">
        <v>80</v>
      </c>
      <c r="D22" s="9">
        <f>D13-D15</f>
        <v>25620000</v>
      </c>
      <c r="E22" s="9">
        <f>E13-E15</f>
        <v>36428000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Breakdown</vt:lpstr>
      <vt:lpstr>Cafe</vt:lpstr>
      <vt:lpstr>Futsal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901954</dc:creator>
  <cp:lastModifiedBy>google1567717355</cp:lastModifiedBy>
  <cp:revision>0</cp:revision>
  <dcterms:created xsi:type="dcterms:W3CDTF">2026-10-24T03:40:00Z</dcterms:created>
  <dcterms:modified xsi:type="dcterms:W3CDTF">2026-10-24T05:12:31Z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768AF5488E724C3FAC4C5A200378A7EF_11</vt:lpwstr>
  </property>
  <property fmtid="{D5CDD505-2E9C-101B-9397-08002B2CF9AE}" pid="3" name="KSOProductBuildVer">
    <vt:lpwstr>1033-12.2.0.23155</vt:lpwstr>
  </property>
</Properties>
</file>